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4" yWindow="42" windowWidth="7926" windowHeight="6702"/>
  </bookViews>
  <sheets>
    <sheet name="sid" sheetId="1" r:id="rId1"/>
  </sheets>
  <calcPr calcId="145621"/>
</workbook>
</file>

<file path=xl/calcChain.xml><?xml version="1.0" encoding="utf-8"?>
<calcChain xmlns="http://schemas.openxmlformats.org/spreadsheetml/2006/main">
  <c r="I22" i="1" l="1"/>
  <c r="I23" i="1"/>
  <c r="I11" i="1" l="1"/>
  <c r="I35" i="1"/>
  <c r="I34" i="1"/>
  <c r="I30" i="1"/>
  <c r="I29" i="1"/>
  <c r="I36" i="1"/>
  <c r="I37" i="1"/>
  <c r="I38" i="1"/>
  <c r="I39" i="1"/>
  <c r="I40" i="1"/>
  <c r="I41" i="1"/>
  <c r="I42" i="1"/>
  <c r="I13" i="1"/>
  <c r="I12" i="1"/>
  <c r="I10" i="1"/>
  <c r="I3" i="1" l="1"/>
  <c r="I4" i="1"/>
  <c r="I5" i="1"/>
  <c r="I6" i="1"/>
  <c r="I7" i="1"/>
  <c r="I8" i="1"/>
  <c r="I9" i="1"/>
  <c r="I14" i="1"/>
  <c r="I15" i="1"/>
  <c r="I16" i="1"/>
  <c r="I17" i="1"/>
  <c r="I18" i="1"/>
  <c r="I19" i="1"/>
  <c r="I20" i="1"/>
  <c r="I21" i="1"/>
  <c r="I24" i="1"/>
  <c r="I25" i="1"/>
  <c r="I26" i="1"/>
  <c r="I27" i="1"/>
  <c r="I28" i="1"/>
  <c r="I31" i="1"/>
  <c r="I32" i="1"/>
  <c r="I33" i="1"/>
  <c r="I2" i="1"/>
</calcChain>
</file>

<file path=xl/sharedStrings.xml><?xml version="1.0" encoding="utf-8"?>
<sst xmlns="http://schemas.openxmlformats.org/spreadsheetml/2006/main" count="204" uniqueCount="145">
  <si>
    <t>C1</t>
  </si>
  <si>
    <t>0.1uF</t>
  </si>
  <si>
    <t>C0402</t>
  </si>
  <si>
    <t>C2</t>
  </si>
  <si>
    <t>2.2uF</t>
  </si>
  <si>
    <t>C3</t>
  </si>
  <si>
    <t>4.7uF</t>
  </si>
  <si>
    <t>C4</t>
  </si>
  <si>
    <t>C5</t>
  </si>
  <si>
    <t>C6</t>
  </si>
  <si>
    <t>C7</t>
  </si>
  <si>
    <t>C8</t>
  </si>
  <si>
    <t>C9</t>
  </si>
  <si>
    <t>C10</t>
  </si>
  <si>
    <t>FB1</t>
  </si>
  <si>
    <t>R0402</t>
  </si>
  <si>
    <t>L1</t>
  </si>
  <si>
    <t>LQM2HPN1R0MJ0L</t>
  </si>
  <si>
    <t>INDC1008X04</t>
  </si>
  <si>
    <t>MAX10</t>
  </si>
  <si>
    <t>U169SMALL</t>
  </si>
  <si>
    <t>R1</t>
  </si>
  <si>
    <t>1K</t>
  </si>
  <si>
    <t>R2</t>
  </si>
  <si>
    <t>R3</t>
  </si>
  <si>
    <t>1k1</t>
  </si>
  <si>
    <t>R4</t>
  </si>
  <si>
    <t>10K</t>
  </si>
  <si>
    <t>R5</t>
  </si>
  <si>
    <t>R6</t>
  </si>
  <si>
    <t>R7</t>
  </si>
  <si>
    <t>REG1</t>
  </si>
  <si>
    <t>TPS62237DRYR</t>
  </si>
  <si>
    <t>DRY6</t>
  </si>
  <si>
    <t>RN6</t>
  </si>
  <si>
    <t>10k</t>
  </si>
  <si>
    <t>RN7</t>
  </si>
  <si>
    <t>TSV854IQ4T</t>
  </si>
  <si>
    <t>QFN50P300X300X100-16N</t>
  </si>
  <si>
    <t>CN1</t>
  </si>
  <si>
    <t>18nF</t>
  </si>
  <si>
    <t>R1206-8</t>
  </si>
  <si>
    <t>R8</t>
  </si>
  <si>
    <t>RN1</t>
  </si>
  <si>
    <t>Part</t>
  </si>
  <si>
    <t>x</t>
  </si>
  <si>
    <t>y</t>
  </si>
  <si>
    <t>rot</t>
  </si>
  <si>
    <t>val</t>
  </si>
  <si>
    <t>type</t>
  </si>
  <si>
    <t>Top</t>
  </si>
  <si>
    <t>line item</t>
  </si>
  <si>
    <t>item</t>
  </si>
  <si>
    <t>mouser part</t>
  </si>
  <si>
    <t>qty</t>
  </si>
  <si>
    <t>manufacturer part</t>
  </si>
  <si>
    <t>name</t>
  </si>
  <si>
    <t>Notes</t>
  </si>
  <si>
    <t>81-GRM155R61A104JA1D</t>
  </si>
  <si>
    <t>GRM155R61A104JA01D</t>
  </si>
  <si>
    <t>0402 0.1uF 5%</t>
  </si>
  <si>
    <t>81-GRM155R60J475ME8D</t>
  </si>
  <si>
    <t>GRM155R60J475ME87D</t>
  </si>
  <si>
    <t>0402 4.7uF 10% X5R 6.3v</t>
  </si>
  <si>
    <t>Recommended on data sheet - 4.7uF intentional!</t>
  </si>
  <si>
    <t>Must be xr5 or x7r</t>
  </si>
  <si>
    <t>81-BLM15AX601SZ1D</t>
  </si>
  <si>
    <t>BLM15AX601SZ1D</t>
  </si>
  <si>
    <t>0402 ferrite bead 600ohm at 100MHz</t>
  </si>
  <si>
    <t>81-LQM2HPN1R0MJ0L</t>
  </si>
  <si>
    <t>1008 1uH</t>
  </si>
  <si>
    <t>Recommended on data sheet</t>
  </si>
  <si>
    <t>max10 fpga</t>
  </si>
  <si>
    <t>754-RR0510P-102D</t>
  </si>
  <si>
    <t>RR0510P-102-D</t>
  </si>
  <si>
    <t>0402 1k</t>
  </si>
  <si>
    <t>1% or better</t>
  </si>
  <si>
    <t>754-RR0510P-112D</t>
  </si>
  <si>
    <t>RR0510P-112-D</t>
  </si>
  <si>
    <t>754-RR0510P-103D</t>
  </si>
  <si>
    <t>RR0510P-103-D</t>
  </si>
  <si>
    <t>0402 10k</t>
  </si>
  <si>
    <t>595-TPS62237DRYR</t>
  </si>
  <si>
    <t>REG TPS62237</t>
  </si>
  <si>
    <t>595-SN74CB3T16211DGV</t>
  </si>
  <si>
    <t>SN74CB3T16211DGVR</t>
  </si>
  <si>
    <t>771-74AHCT125BQ-G</t>
  </si>
  <si>
    <t>74AHCT125BQ,115</t>
  </si>
  <si>
    <t>buffer ttl level in x4 5v</t>
  </si>
  <si>
    <t>tsv854 op amp</t>
  </si>
  <si>
    <t>511-TSV854IQ4T</t>
  </si>
  <si>
    <t>80-CA064X223K1RAUTO</t>
  </si>
  <si>
    <t>CA064X223K1RACAUTO</t>
  </si>
  <si>
    <t>Capacitor Arrays &amp; Networks 100volts .022uF 10% X7R AUTO</t>
  </si>
  <si>
    <t>18nF on simulation, but mouser have no stock. 22nF is ok, but prefer 18nF if possible.</t>
  </si>
  <si>
    <t>res array 560ohm</t>
  </si>
  <si>
    <t>963-TMK105CBJ225KV-F</t>
  </si>
  <si>
    <t>TMK105CBJ225KV-F</t>
  </si>
  <si>
    <t>level conv (24)</t>
  </si>
  <si>
    <t>1% (this and below set gain)</t>
  </si>
  <si>
    <t>res array 10K 1%</t>
  </si>
  <si>
    <t>res array 20k 1%</t>
  </si>
  <si>
    <t>Open</t>
  </si>
  <si>
    <t>Closed</t>
  </si>
  <si>
    <t>open</t>
  </si>
  <si>
    <t>1nF</t>
  </si>
  <si>
    <t>3k3</t>
  </si>
  <si>
    <t>REG2</t>
  </si>
  <si>
    <t>MIC94310-JYMT-TR</t>
  </si>
  <si>
    <t>TDFN4_1P2X1P6_MCH</t>
  </si>
  <si>
    <t>741-8</t>
  </si>
  <si>
    <t>20K</t>
  </si>
  <si>
    <t>U1</t>
  </si>
  <si>
    <t>U2</t>
  </si>
  <si>
    <t>SN74CB3T16211SM</t>
  </si>
  <si>
    <t>56TVSOP_SMALL</t>
  </si>
  <si>
    <t>U3</t>
  </si>
  <si>
    <t>2.2uF ac couple 0402</t>
  </si>
  <si>
    <t>989-10M08SCU169C8G</t>
  </si>
  <si>
    <t>10M08SCU169C8G</t>
  </si>
  <si>
    <t>08 stereo, 04 mono. TBD if stereo can fit in 04</t>
  </si>
  <si>
    <t>NB: size different from v3!</t>
  </si>
  <si>
    <t>754-RR0510P-332D</t>
  </si>
  <si>
    <t>RR0510P-332-D</t>
  </si>
  <si>
    <t>0402 3.3k 0.5%</t>
  </si>
  <si>
    <t>80-C0402C102J4GCAUTO</t>
  </si>
  <si>
    <t>C0402C102J4GACAUTO</t>
  </si>
  <si>
    <t>SMD/SMT 16V 1000pF C0G 0402 5% AEC-Q200</t>
  </si>
  <si>
    <t>C0G dielectric/&lt;5%, for ADC</t>
  </si>
  <si>
    <t>0402 1k1</t>
  </si>
  <si>
    <t>998-MIC94310-JYMTTR</t>
  </si>
  <si>
    <t>2.5V LDO Voltage Regulators 200mA Ripple Blocker, with Fixed Output Voltage Follower</t>
  </si>
  <si>
    <t>Filtered 2.5V for ADC</t>
  </si>
  <si>
    <t>200-TS114TAA</t>
  </si>
  <si>
    <t>TS-114-T-AA</t>
  </si>
  <si>
    <t>14 pin machine header 2.54mm</t>
  </si>
  <si>
    <t>774-741C083561JP</t>
  </si>
  <si>
    <t>741C083561JP</t>
  </si>
  <si>
    <t>603-TC124-FR-0710KL</t>
  </si>
  <si>
    <t>TC124-FR-0710KL</t>
  </si>
  <si>
    <t>603-YC124-JR-0720KL</t>
  </si>
  <si>
    <t>YC124-JR-0720KL</t>
  </si>
  <si>
    <t>1% (BOM has 5% because mouser don't stock 1% of these, gain may be 5% off, but not the end of the world)</t>
  </si>
  <si>
    <t>R9</t>
  </si>
  <si>
    <t>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</si>
</sst>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8" fillId="0" borderId="0" xfId="0" applyFont="1"/>
    <xf numFmtId="0" fontId="0" fillId="0" borderId="0" xfId="0" applyFont="1"/>
    <xf numFmtId="9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tabSelected="1" topLeftCell="K5" workbookViewId="0">
      <selection activeCell="N11" sqref="N11"/>
    </sheetView>
  </sheetViews>
  <sheetFormatPr defaultRowHeight="14.4" x14ac:dyDescent="0.55000000000000004"/>
  <cols>
    <col min="7" max="7" width="15.26171875" customWidth="1"/>
    <col min="8" max="8" width="16.26171875" customWidth="1"/>
    <col min="10" max="10" width="18.734375" customWidth="1"/>
    <col min="11" max="12" width="15.89453125" customWidth="1"/>
    <col min="15" max="15" width="50.47265625" customWidth="1"/>
    <col min="16" max="16" width="16.3671875" customWidth="1"/>
  </cols>
  <sheetData>
    <row r="1" spans="1:22" x14ac:dyDescent="0.55000000000000004">
      <c r="A1" t="s">
        <v>50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s="1" t="s">
        <v>51</v>
      </c>
      <c r="I1" s="1" t="s">
        <v>52</v>
      </c>
      <c r="K1" s="1" t="s">
        <v>51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102</v>
      </c>
      <c r="Q1" s="1" t="s">
        <v>57</v>
      </c>
      <c r="R1" s="1"/>
    </row>
    <row r="2" spans="1:22" x14ac:dyDescent="0.55000000000000004">
      <c r="A2" t="b">
        <v>1</v>
      </c>
      <c r="B2" t="s">
        <v>0</v>
      </c>
      <c r="C2">
        <v>16</v>
      </c>
      <c r="D2">
        <v>15.84</v>
      </c>
      <c r="E2">
        <v>180</v>
      </c>
      <c r="F2" t="s">
        <v>6</v>
      </c>
      <c r="G2" t="s">
        <v>2</v>
      </c>
      <c r="H2">
        <v>2</v>
      </c>
      <c r="I2" t="str">
        <f t="shared" ref="I2:I42" si="0">VLOOKUP(H2,$K$2:$W$33,5,FALSE)</f>
        <v>0402 4.7uF 10% X5R 6.3v</v>
      </c>
      <c r="K2">
        <v>1</v>
      </c>
      <c r="L2" t="s">
        <v>58</v>
      </c>
      <c r="M2">
        <v>5</v>
      </c>
      <c r="N2" t="s">
        <v>59</v>
      </c>
      <c r="O2" t="s">
        <v>60</v>
      </c>
      <c r="P2" t="s">
        <v>104</v>
      </c>
    </row>
    <row r="3" spans="1:22" x14ac:dyDescent="0.55000000000000004">
      <c r="A3" t="b">
        <v>1</v>
      </c>
      <c r="B3" t="s">
        <v>3</v>
      </c>
      <c r="C3">
        <v>13.67</v>
      </c>
      <c r="D3">
        <v>17.79</v>
      </c>
      <c r="E3">
        <v>270</v>
      </c>
      <c r="F3" t="s">
        <v>4</v>
      </c>
      <c r="G3" t="s">
        <v>2</v>
      </c>
      <c r="H3">
        <v>18</v>
      </c>
      <c r="I3" t="str">
        <f t="shared" si="0"/>
        <v>2.2uF ac couple 0402</v>
      </c>
      <c r="K3">
        <v>2</v>
      </c>
      <c r="L3" t="s">
        <v>61</v>
      </c>
      <c r="M3">
        <v>1</v>
      </c>
      <c r="N3" t="s">
        <v>62</v>
      </c>
      <c r="O3" t="s">
        <v>63</v>
      </c>
      <c r="P3" t="s">
        <v>103</v>
      </c>
      <c r="Q3" t="s">
        <v>64</v>
      </c>
      <c r="V3" t="s">
        <v>65</v>
      </c>
    </row>
    <row r="4" spans="1:22" x14ac:dyDescent="0.55000000000000004">
      <c r="A4" t="b">
        <v>1</v>
      </c>
      <c r="B4" t="s">
        <v>5</v>
      </c>
      <c r="C4">
        <v>22.61</v>
      </c>
      <c r="D4">
        <v>17.91</v>
      </c>
      <c r="E4">
        <v>270</v>
      </c>
      <c r="F4" t="s">
        <v>1</v>
      </c>
      <c r="G4" t="s">
        <v>2</v>
      </c>
      <c r="H4">
        <v>1</v>
      </c>
      <c r="I4" t="str">
        <f t="shared" si="0"/>
        <v>0402 0.1uF 5%</v>
      </c>
      <c r="K4" s="3">
        <v>3</v>
      </c>
      <c r="L4" t="s">
        <v>91</v>
      </c>
      <c r="M4">
        <v>1</v>
      </c>
      <c r="N4" t="s">
        <v>92</v>
      </c>
      <c r="O4" t="s">
        <v>93</v>
      </c>
      <c r="P4" t="s">
        <v>103</v>
      </c>
      <c r="Q4" t="s">
        <v>94</v>
      </c>
    </row>
    <row r="5" spans="1:22" x14ac:dyDescent="0.55000000000000004">
      <c r="A5" t="b">
        <v>1</v>
      </c>
      <c r="B5" t="s">
        <v>7</v>
      </c>
      <c r="C5">
        <v>24.13</v>
      </c>
      <c r="D5">
        <v>17.91</v>
      </c>
      <c r="E5">
        <v>270</v>
      </c>
      <c r="F5" t="s">
        <v>105</v>
      </c>
      <c r="G5" t="s">
        <v>2</v>
      </c>
      <c r="H5">
        <v>4</v>
      </c>
      <c r="I5" t="str">
        <f t="shared" si="0"/>
        <v>SMD/SMT 16V 1000pF C0G 0402 5% AEC-Q200</v>
      </c>
      <c r="K5">
        <v>4</v>
      </c>
      <c r="L5" t="s">
        <v>125</v>
      </c>
      <c r="M5">
        <v>1</v>
      </c>
      <c r="N5" t="s">
        <v>126</v>
      </c>
      <c r="O5" t="s">
        <v>127</v>
      </c>
      <c r="P5" t="s">
        <v>102</v>
      </c>
      <c r="Q5" t="s">
        <v>128</v>
      </c>
    </row>
    <row r="6" spans="1:22" x14ac:dyDescent="0.55000000000000004">
      <c r="A6" t="b">
        <v>1</v>
      </c>
      <c r="B6" t="s">
        <v>8</v>
      </c>
      <c r="C6">
        <v>10.41</v>
      </c>
      <c r="D6">
        <v>23.11</v>
      </c>
      <c r="E6">
        <v>90</v>
      </c>
      <c r="F6" t="s">
        <v>1</v>
      </c>
      <c r="G6" t="s">
        <v>2</v>
      </c>
      <c r="H6">
        <v>1</v>
      </c>
      <c r="I6" t="str">
        <f t="shared" si="0"/>
        <v>0402 0.1uF 5%</v>
      </c>
      <c r="K6">
        <v>5</v>
      </c>
      <c r="L6" t="s">
        <v>66</v>
      </c>
      <c r="M6">
        <v>1</v>
      </c>
      <c r="N6" t="s">
        <v>67</v>
      </c>
      <c r="O6" t="s">
        <v>68</v>
      </c>
      <c r="P6" t="s">
        <v>104</v>
      </c>
    </row>
    <row r="7" spans="1:22" x14ac:dyDescent="0.55000000000000004">
      <c r="A7" t="b">
        <v>1</v>
      </c>
      <c r="B7" t="s">
        <v>9</v>
      </c>
      <c r="C7">
        <v>10.34</v>
      </c>
      <c r="D7">
        <v>27.94</v>
      </c>
      <c r="E7">
        <v>270</v>
      </c>
      <c r="F7" t="s">
        <v>1</v>
      </c>
      <c r="G7" t="s">
        <v>2</v>
      </c>
      <c r="H7">
        <v>1</v>
      </c>
      <c r="I7" t="str">
        <f t="shared" si="0"/>
        <v>0402 0.1uF 5%</v>
      </c>
      <c r="K7">
        <v>6</v>
      </c>
      <c r="L7" t="s">
        <v>69</v>
      </c>
      <c r="M7">
        <v>1</v>
      </c>
      <c r="N7" t="s">
        <v>17</v>
      </c>
      <c r="O7" t="s">
        <v>70</v>
      </c>
      <c r="P7" t="s">
        <v>103</v>
      </c>
      <c r="Q7" t="s">
        <v>71</v>
      </c>
    </row>
    <row r="8" spans="1:22" x14ac:dyDescent="0.55000000000000004">
      <c r="A8" t="b">
        <v>1</v>
      </c>
      <c r="B8" t="s">
        <v>10</v>
      </c>
      <c r="C8">
        <v>10.36</v>
      </c>
      <c r="D8">
        <v>42.16</v>
      </c>
      <c r="E8">
        <v>270</v>
      </c>
      <c r="F8" t="s">
        <v>1</v>
      </c>
      <c r="G8" t="s">
        <v>2</v>
      </c>
      <c r="H8">
        <v>1</v>
      </c>
      <c r="I8" t="str">
        <f t="shared" si="0"/>
        <v>0402 0.1uF 5%</v>
      </c>
      <c r="K8">
        <v>7</v>
      </c>
      <c r="L8" t="s">
        <v>118</v>
      </c>
      <c r="M8">
        <v>1</v>
      </c>
      <c r="N8" t="s">
        <v>119</v>
      </c>
      <c r="O8" t="s">
        <v>72</v>
      </c>
      <c r="P8" t="s">
        <v>103</v>
      </c>
      <c r="Q8" t="s">
        <v>120</v>
      </c>
    </row>
    <row r="9" spans="1:22" x14ac:dyDescent="0.55000000000000004">
      <c r="A9" t="b">
        <v>1</v>
      </c>
      <c r="B9" t="s">
        <v>11</v>
      </c>
      <c r="C9">
        <v>21.95</v>
      </c>
      <c r="D9">
        <v>48.21</v>
      </c>
      <c r="E9">
        <v>90</v>
      </c>
      <c r="F9" t="s">
        <v>1</v>
      </c>
      <c r="G9" t="s">
        <v>2</v>
      </c>
      <c r="H9">
        <v>1</v>
      </c>
      <c r="I9" t="str">
        <f t="shared" si="0"/>
        <v>0402 0.1uF 5%</v>
      </c>
      <c r="K9">
        <v>8</v>
      </c>
      <c r="L9" t="s">
        <v>73</v>
      </c>
      <c r="M9">
        <v>1</v>
      </c>
      <c r="N9" t="s">
        <v>74</v>
      </c>
      <c r="O9" t="s">
        <v>75</v>
      </c>
      <c r="P9" t="s">
        <v>102</v>
      </c>
    </row>
    <row r="10" spans="1:22" x14ac:dyDescent="0.55000000000000004">
      <c r="A10" t="b">
        <v>1</v>
      </c>
      <c r="B10" t="s">
        <v>12</v>
      </c>
      <c r="C10">
        <v>24.79</v>
      </c>
      <c r="D10">
        <v>50.7</v>
      </c>
      <c r="E10">
        <v>0</v>
      </c>
      <c r="F10" t="s">
        <v>4</v>
      </c>
      <c r="G10" t="s">
        <v>2</v>
      </c>
      <c r="H10">
        <v>18</v>
      </c>
      <c r="I10" t="str">
        <f t="shared" si="0"/>
        <v>2.2uF ac couple 0402</v>
      </c>
      <c r="K10">
        <v>9</v>
      </c>
      <c r="L10" t="s">
        <v>77</v>
      </c>
      <c r="M10">
        <v>1</v>
      </c>
      <c r="N10" t="s">
        <v>78</v>
      </c>
      <c r="O10" t="s">
        <v>129</v>
      </c>
      <c r="P10" t="s">
        <v>102</v>
      </c>
    </row>
    <row r="11" spans="1:22" x14ac:dyDescent="0.55000000000000004">
      <c r="A11" t="b">
        <v>1</v>
      </c>
      <c r="B11" t="s">
        <v>13</v>
      </c>
      <c r="C11">
        <v>24.79</v>
      </c>
      <c r="D11">
        <v>49.33</v>
      </c>
      <c r="E11">
        <v>0</v>
      </c>
      <c r="F11" t="s">
        <v>4</v>
      </c>
      <c r="G11" t="s">
        <v>2</v>
      </c>
      <c r="H11">
        <v>18</v>
      </c>
      <c r="I11" t="str">
        <f t="shared" si="0"/>
        <v>2.2uF ac couple 0402</v>
      </c>
      <c r="K11">
        <v>10</v>
      </c>
      <c r="L11" t="s">
        <v>122</v>
      </c>
      <c r="M11">
        <v>3</v>
      </c>
      <c r="N11" t="s">
        <v>123</v>
      </c>
      <c r="O11" t="s">
        <v>124</v>
      </c>
      <c r="P11" t="s">
        <v>102</v>
      </c>
      <c r="Q11" t="s">
        <v>76</v>
      </c>
    </row>
    <row r="12" spans="1:22" x14ac:dyDescent="0.55000000000000004">
      <c r="A12" t="b">
        <v>1</v>
      </c>
      <c r="B12" t="s">
        <v>39</v>
      </c>
      <c r="C12">
        <v>24.54</v>
      </c>
      <c r="D12">
        <v>47.34</v>
      </c>
      <c r="E12">
        <v>180</v>
      </c>
      <c r="F12" t="s">
        <v>40</v>
      </c>
      <c r="G12" t="s">
        <v>41</v>
      </c>
      <c r="H12">
        <v>3</v>
      </c>
      <c r="I12" t="str">
        <f t="shared" si="0"/>
        <v>Capacitor Arrays &amp; Networks 100volts .022uF 10% X7R AUTO</v>
      </c>
      <c r="K12">
        <v>11</v>
      </c>
      <c r="L12" t="s">
        <v>79</v>
      </c>
      <c r="M12">
        <v>4</v>
      </c>
      <c r="N12" t="s">
        <v>80</v>
      </c>
      <c r="O12" t="s">
        <v>81</v>
      </c>
      <c r="P12" t="s">
        <v>102</v>
      </c>
    </row>
    <row r="13" spans="1:22" x14ac:dyDescent="0.55000000000000004">
      <c r="A13" t="b">
        <v>1</v>
      </c>
      <c r="B13" t="s">
        <v>14</v>
      </c>
      <c r="C13">
        <v>10.41</v>
      </c>
      <c r="D13">
        <v>19.05</v>
      </c>
      <c r="E13">
        <v>90</v>
      </c>
      <c r="F13" t="s">
        <v>15</v>
      </c>
      <c r="H13">
        <v>5</v>
      </c>
      <c r="I13" t="str">
        <f t="shared" si="0"/>
        <v>0402 ferrite bead 600ohm at 100MHz</v>
      </c>
      <c r="K13">
        <v>12</v>
      </c>
      <c r="L13" t="s">
        <v>82</v>
      </c>
      <c r="M13">
        <v>1</v>
      </c>
      <c r="N13" t="s">
        <v>32</v>
      </c>
      <c r="O13" t="s">
        <v>83</v>
      </c>
      <c r="P13" t="s">
        <v>103</v>
      </c>
    </row>
    <row r="14" spans="1:22" x14ac:dyDescent="0.55000000000000004">
      <c r="A14" t="b">
        <v>1</v>
      </c>
      <c r="B14" t="s">
        <v>16</v>
      </c>
      <c r="C14">
        <v>18.670000000000002</v>
      </c>
      <c r="D14">
        <v>17.84</v>
      </c>
      <c r="E14">
        <v>270</v>
      </c>
      <c r="F14" t="s">
        <v>17</v>
      </c>
      <c r="G14" t="s">
        <v>18</v>
      </c>
      <c r="H14">
        <v>6</v>
      </c>
      <c r="I14" t="str">
        <f t="shared" si="0"/>
        <v>1008 1uH</v>
      </c>
      <c r="K14" s="3">
        <v>13</v>
      </c>
      <c r="L14" t="s">
        <v>136</v>
      </c>
      <c r="M14">
        <v>1</v>
      </c>
      <c r="N14" t="s">
        <v>137</v>
      </c>
      <c r="O14" t="s">
        <v>95</v>
      </c>
      <c r="P14" t="s">
        <v>102</v>
      </c>
      <c r="Q14" t="s">
        <v>121</v>
      </c>
    </row>
    <row r="15" spans="1:22" x14ac:dyDescent="0.55000000000000004">
      <c r="A15" t="b">
        <v>1</v>
      </c>
      <c r="B15" t="s">
        <v>21</v>
      </c>
      <c r="C15">
        <v>25.65</v>
      </c>
      <c r="D15">
        <v>17.91</v>
      </c>
      <c r="E15">
        <v>270</v>
      </c>
      <c r="F15" t="s">
        <v>25</v>
      </c>
      <c r="G15" t="s">
        <v>15</v>
      </c>
      <c r="H15">
        <v>9</v>
      </c>
      <c r="I15" t="str">
        <f t="shared" si="0"/>
        <v>0402 1k1</v>
      </c>
      <c r="K15">
        <v>14</v>
      </c>
      <c r="L15" t="s">
        <v>130</v>
      </c>
      <c r="M15">
        <v>1</v>
      </c>
      <c r="N15" t="s">
        <v>108</v>
      </c>
      <c r="O15" t="s">
        <v>131</v>
      </c>
      <c r="P15" t="s">
        <v>103</v>
      </c>
      <c r="Q15" t="s">
        <v>132</v>
      </c>
    </row>
    <row r="16" spans="1:22" x14ac:dyDescent="0.55000000000000004">
      <c r="A16" t="b">
        <v>1</v>
      </c>
      <c r="B16" t="s">
        <v>23</v>
      </c>
      <c r="C16">
        <v>10.36</v>
      </c>
      <c r="D16">
        <v>31.5</v>
      </c>
      <c r="E16">
        <v>270</v>
      </c>
      <c r="F16" t="s">
        <v>27</v>
      </c>
      <c r="G16" t="s">
        <v>15</v>
      </c>
      <c r="H16">
        <v>11</v>
      </c>
      <c r="I16" t="str">
        <f t="shared" si="0"/>
        <v>0402 10k</v>
      </c>
      <c r="K16">
        <v>15</v>
      </c>
      <c r="L16" t="s">
        <v>84</v>
      </c>
      <c r="M16">
        <v>1</v>
      </c>
      <c r="N16" t="s">
        <v>85</v>
      </c>
      <c r="O16" t="s">
        <v>98</v>
      </c>
      <c r="P16" t="s">
        <v>103</v>
      </c>
    </row>
    <row r="17" spans="1:18" x14ac:dyDescent="0.55000000000000004">
      <c r="A17" t="b">
        <v>1</v>
      </c>
      <c r="B17" t="s">
        <v>24</v>
      </c>
      <c r="C17">
        <v>10.36</v>
      </c>
      <c r="D17">
        <v>34.49</v>
      </c>
      <c r="E17">
        <v>90</v>
      </c>
      <c r="F17" t="s">
        <v>27</v>
      </c>
      <c r="G17" t="s">
        <v>15</v>
      </c>
      <c r="H17">
        <v>11</v>
      </c>
      <c r="I17" t="str">
        <f t="shared" si="0"/>
        <v>0402 10k</v>
      </c>
      <c r="K17">
        <v>16</v>
      </c>
      <c r="L17" t="s">
        <v>86</v>
      </c>
      <c r="M17">
        <v>1</v>
      </c>
      <c r="N17" t="s">
        <v>87</v>
      </c>
      <c r="O17" t="s">
        <v>88</v>
      </c>
      <c r="P17" t="s">
        <v>103</v>
      </c>
    </row>
    <row r="18" spans="1:18" x14ac:dyDescent="0.55000000000000004">
      <c r="A18" t="b">
        <v>1</v>
      </c>
      <c r="B18" t="s">
        <v>26</v>
      </c>
      <c r="C18">
        <v>10.36</v>
      </c>
      <c r="D18">
        <v>38.04</v>
      </c>
      <c r="E18">
        <v>90</v>
      </c>
      <c r="F18" t="s">
        <v>22</v>
      </c>
      <c r="G18" t="s">
        <v>15</v>
      </c>
      <c r="H18">
        <v>8</v>
      </c>
      <c r="I18" t="str">
        <f t="shared" si="0"/>
        <v>0402 1k</v>
      </c>
      <c r="K18">
        <v>17</v>
      </c>
      <c r="L18" t="s">
        <v>90</v>
      </c>
      <c r="M18">
        <v>1</v>
      </c>
      <c r="N18" t="s">
        <v>37</v>
      </c>
      <c r="O18" t="s">
        <v>89</v>
      </c>
      <c r="P18" t="s">
        <v>103</v>
      </c>
    </row>
    <row r="19" spans="1:18" x14ac:dyDescent="0.55000000000000004">
      <c r="A19" t="b">
        <v>1</v>
      </c>
      <c r="B19" t="s">
        <v>28</v>
      </c>
      <c r="C19">
        <v>10.36</v>
      </c>
      <c r="D19">
        <v>47.24</v>
      </c>
      <c r="E19">
        <v>270</v>
      </c>
      <c r="F19" t="s">
        <v>27</v>
      </c>
      <c r="G19" t="s">
        <v>15</v>
      </c>
      <c r="H19">
        <v>11</v>
      </c>
      <c r="I19" t="str">
        <f t="shared" si="0"/>
        <v>0402 10k</v>
      </c>
      <c r="K19">
        <v>18</v>
      </c>
      <c r="L19" t="s">
        <v>96</v>
      </c>
      <c r="M19">
        <v>2</v>
      </c>
      <c r="N19" t="s">
        <v>97</v>
      </c>
      <c r="O19" t="s">
        <v>117</v>
      </c>
      <c r="P19" t="s">
        <v>102</v>
      </c>
    </row>
    <row r="20" spans="1:18" x14ac:dyDescent="0.55000000000000004">
      <c r="A20" t="b">
        <v>1</v>
      </c>
      <c r="B20" t="s">
        <v>29</v>
      </c>
      <c r="C20">
        <v>10.36</v>
      </c>
      <c r="D20">
        <v>50.6</v>
      </c>
      <c r="E20">
        <v>90</v>
      </c>
      <c r="F20" t="s">
        <v>27</v>
      </c>
      <c r="G20" t="s">
        <v>15</v>
      </c>
      <c r="H20">
        <v>11</v>
      </c>
      <c r="I20" t="str">
        <f t="shared" si="0"/>
        <v>0402 10k</v>
      </c>
      <c r="K20">
        <v>19</v>
      </c>
      <c r="L20" t="s">
        <v>138</v>
      </c>
      <c r="M20">
        <v>1</v>
      </c>
      <c r="N20" t="s">
        <v>139</v>
      </c>
      <c r="O20" t="s">
        <v>100</v>
      </c>
      <c r="P20" t="s">
        <v>102</v>
      </c>
      <c r="Q20" s="4" t="s">
        <v>99</v>
      </c>
      <c r="R20" t="s">
        <v>121</v>
      </c>
    </row>
    <row r="21" spans="1:18" x14ac:dyDescent="0.55000000000000004">
      <c r="A21" t="b">
        <v>1</v>
      </c>
      <c r="B21" t="s">
        <v>30</v>
      </c>
      <c r="C21">
        <v>29.11</v>
      </c>
      <c r="D21">
        <v>51.16</v>
      </c>
      <c r="E21">
        <v>180</v>
      </c>
      <c r="F21" t="s">
        <v>106</v>
      </c>
      <c r="G21" t="s">
        <v>15</v>
      </c>
      <c r="H21">
        <v>10</v>
      </c>
      <c r="I21" t="str">
        <f t="shared" si="0"/>
        <v>0402 3.3k 0.5%</v>
      </c>
      <c r="K21">
        <v>20</v>
      </c>
      <c r="L21" t="s">
        <v>140</v>
      </c>
      <c r="M21">
        <v>1</v>
      </c>
      <c r="N21" t="s">
        <v>141</v>
      </c>
      <c r="O21" t="s">
        <v>101</v>
      </c>
      <c r="P21" t="s">
        <v>102</v>
      </c>
      <c r="Q21" s="4" t="s">
        <v>142</v>
      </c>
      <c r="R21" t="s">
        <v>121</v>
      </c>
    </row>
    <row r="22" spans="1:18" x14ac:dyDescent="0.55000000000000004">
      <c r="A22" t="b">
        <v>1</v>
      </c>
      <c r="B22" t="s">
        <v>143</v>
      </c>
      <c r="C22">
        <v>29.34</v>
      </c>
      <c r="D22">
        <v>17.78</v>
      </c>
      <c r="E22">
        <v>180</v>
      </c>
      <c r="F22" t="s">
        <v>106</v>
      </c>
      <c r="G22" t="s">
        <v>15</v>
      </c>
      <c r="H22">
        <v>10</v>
      </c>
      <c r="I22" t="str">
        <f t="shared" ref="I22:I23" si="1">VLOOKUP(H22,$K$2:$W$33,5,FALSE)</f>
        <v>0402 3.3k 0.5%</v>
      </c>
      <c r="K22">
        <v>21</v>
      </c>
      <c r="L22" t="s">
        <v>133</v>
      </c>
      <c r="M22" s="2">
        <v>2</v>
      </c>
      <c r="N22" t="s">
        <v>134</v>
      </c>
      <c r="O22" t="s">
        <v>135</v>
      </c>
      <c r="P22" t="s">
        <v>103</v>
      </c>
    </row>
    <row r="23" spans="1:18" x14ac:dyDescent="0.55000000000000004">
      <c r="A23" t="b">
        <v>1</v>
      </c>
      <c r="B23" t="s">
        <v>144</v>
      </c>
      <c r="C23">
        <v>29.34</v>
      </c>
      <c r="D23">
        <v>16.3</v>
      </c>
      <c r="E23">
        <v>0</v>
      </c>
      <c r="F23" t="s">
        <v>106</v>
      </c>
      <c r="G23" t="s">
        <v>15</v>
      </c>
      <c r="H23">
        <v>10</v>
      </c>
      <c r="I23" t="str">
        <f t="shared" si="1"/>
        <v>0402 3.3k 0.5%</v>
      </c>
      <c r="K23">
        <v>22</v>
      </c>
    </row>
    <row r="24" spans="1:18" x14ac:dyDescent="0.55000000000000004">
      <c r="A24" t="b">
        <v>1</v>
      </c>
      <c r="B24" t="s">
        <v>42</v>
      </c>
      <c r="C24">
        <v>29.11</v>
      </c>
      <c r="D24">
        <v>49.86</v>
      </c>
      <c r="E24">
        <v>0</v>
      </c>
      <c r="F24" t="s">
        <v>35</v>
      </c>
      <c r="G24" t="s">
        <v>15</v>
      </c>
      <c r="H24">
        <v>11</v>
      </c>
      <c r="I24" t="str">
        <f t="shared" si="0"/>
        <v>0402 10k</v>
      </c>
      <c r="K24">
        <v>23</v>
      </c>
    </row>
    <row r="25" spans="1:18" x14ac:dyDescent="0.55000000000000004">
      <c r="A25" t="b">
        <v>1</v>
      </c>
      <c r="B25" t="s">
        <v>31</v>
      </c>
      <c r="C25">
        <v>16</v>
      </c>
      <c r="D25">
        <v>17.64</v>
      </c>
      <c r="E25">
        <v>270</v>
      </c>
      <c r="F25" t="s">
        <v>32</v>
      </c>
      <c r="G25" t="s">
        <v>33</v>
      </c>
      <c r="H25">
        <v>12</v>
      </c>
      <c r="I25" t="str">
        <f t="shared" si="0"/>
        <v>REG TPS62237</v>
      </c>
      <c r="K25">
        <v>24</v>
      </c>
      <c r="Q25" s="4"/>
    </row>
    <row r="26" spans="1:18" x14ac:dyDescent="0.55000000000000004">
      <c r="A26" t="b">
        <v>1</v>
      </c>
      <c r="B26" t="s">
        <v>107</v>
      </c>
      <c r="C26">
        <v>21.03</v>
      </c>
      <c r="D26">
        <v>17.649999999999999</v>
      </c>
      <c r="E26">
        <v>270</v>
      </c>
      <c r="F26" t="s">
        <v>108</v>
      </c>
      <c r="G26" t="s">
        <v>109</v>
      </c>
      <c r="H26">
        <v>14</v>
      </c>
      <c r="I26" t="str">
        <f t="shared" si="0"/>
        <v>2.5V LDO Voltage Regulators 200mA Ripple Blocker, with Fixed Output Voltage Follower</v>
      </c>
      <c r="K26">
        <v>25</v>
      </c>
      <c r="Q26" s="4"/>
    </row>
    <row r="27" spans="1:18" x14ac:dyDescent="0.55000000000000004">
      <c r="A27" t="b">
        <v>1</v>
      </c>
      <c r="B27" t="s">
        <v>43</v>
      </c>
      <c r="C27">
        <v>24.89</v>
      </c>
      <c r="D27">
        <v>44.17</v>
      </c>
      <c r="E27">
        <v>180</v>
      </c>
      <c r="F27">
        <v>560</v>
      </c>
      <c r="G27" t="s">
        <v>110</v>
      </c>
      <c r="H27">
        <v>13</v>
      </c>
      <c r="I27" t="str">
        <f t="shared" si="0"/>
        <v>res array 560ohm</v>
      </c>
      <c r="K27">
        <v>26</v>
      </c>
    </row>
    <row r="28" spans="1:18" x14ac:dyDescent="0.55000000000000004">
      <c r="A28" t="b">
        <v>1</v>
      </c>
      <c r="B28" t="s">
        <v>34</v>
      </c>
      <c r="C28">
        <v>15.3</v>
      </c>
      <c r="D28">
        <v>42.36</v>
      </c>
      <c r="E28">
        <v>180</v>
      </c>
      <c r="F28" t="s">
        <v>27</v>
      </c>
      <c r="G28" t="s">
        <v>110</v>
      </c>
      <c r="H28">
        <v>19</v>
      </c>
      <c r="I28" t="str">
        <f t="shared" si="0"/>
        <v>res array 10K 1%</v>
      </c>
      <c r="K28" s="2">
        <v>27</v>
      </c>
      <c r="M28" s="2"/>
      <c r="N28" s="5"/>
    </row>
    <row r="29" spans="1:18" x14ac:dyDescent="0.55000000000000004">
      <c r="A29" t="b">
        <v>1</v>
      </c>
      <c r="B29" t="s">
        <v>36</v>
      </c>
      <c r="C29">
        <v>15.3</v>
      </c>
      <c r="D29">
        <v>45.36</v>
      </c>
      <c r="E29">
        <v>180</v>
      </c>
      <c r="F29" t="s">
        <v>111</v>
      </c>
      <c r="G29" t="s">
        <v>110</v>
      </c>
      <c r="H29">
        <v>20</v>
      </c>
      <c r="I29" t="str">
        <f t="shared" si="0"/>
        <v>res array 20k 1%</v>
      </c>
      <c r="K29" s="2">
        <v>28</v>
      </c>
    </row>
    <row r="30" spans="1:18" x14ac:dyDescent="0.55000000000000004">
      <c r="A30" t="b">
        <v>1</v>
      </c>
      <c r="B30" t="s">
        <v>112</v>
      </c>
      <c r="C30">
        <v>19.809999999999999</v>
      </c>
      <c r="D30">
        <v>43.61</v>
      </c>
      <c r="E30">
        <v>0</v>
      </c>
      <c r="F30" t="s">
        <v>37</v>
      </c>
      <c r="G30" t="s">
        <v>38</v>
      </c>
      <c r="H30">
        <v>17</v>
      </c>
      <c r="I30" t="str">
        <f t="shared" si="0"/>
        <v>tsv854 op amp</v>
      </c>
      <c r="K30" s="2">
        <v>29</v>
      </c>
      <c r="M30" s="2"/>
    </row>
    <row r="31" spans="1:18" x14ac:dyDescent="0.55000000000000004">
      <c r="A31" t="b">
        <v>1</v>
      </c>
      <c r="B31" t="s">
        <v>113</v>
      </c>
      <c r="C31">
        <v>19.809999999999999</v>
      </c>
      <c r="D31">
        <v>36.5</v>
      </c>
      <c r="E31">
        <v>90</v>
      </c>
      <c r="F31" t="s">
        <v>114</v>
      </c>
      <c r="G31" t="s">
        <v>115</v>
      </c>
      <c r="H31">
        <v>15</v>
      </c>
      <c r="I31" t="str">
        <f t="shared" si="0"/>
        <v>level conv (24)</v>
      </c>
    </row>
    <row r="32" spans="1:18" x14ac:dyDescent="0.55000000000000004">
      <c r="A32" t="b">
        <v>1</v>
      </c>
      <c r="B32" t="s">
        <v>116</v>
      </c>
      <c r="C32">
        <v>19.600000000000001</v>
      </c>
      <c r="D32">
        <v>26</v>
      </c>
      <c r="E32">
        <v>0</v>
      </c>
      <c r="F32" t="s">
        <v>19</v>
      </c>
      <c r="G32" t="s">
        <v>20</v>
      </c>
      <c r="H32">
        <v>7</v>
      </c>
      <c r="I32" t="str">
        <f t="shared" si="0"/>
        <v>max10 fpga</v>
      </c>
    </row>
    <row r="33" spans="9:9" x14ac:dyDescent="0.55000000000000004">
      <c r="I33" t="e">
        <f t="shared" si="0"/>
        <v>#N/A</v>
      </c>
    </row>
    <row r="34" spans="9:9" x14ac:dyDescent="0.55000000000000004">
      <c r="I34" t="e">
        <f t="shared" si="0"/>
        <v>#N/A</v>
      </c>
    </row>
    <row r="35" spans="9:9" x14ac:dyDescent="0.55000000000000004">
      <c r="I35" t="e">
        <f t="shared" si="0"/>
        <v>#N/A</v>
      </c>
    </row>
    <row r="36" spans="9:9" x14ac:dyDescent="0.55000000000000004">
      <c r="I36" t="e">
        <f t="shared" si="0"/>
        <v>#N/A</v>
      </c>
    </row>
    <row r="37" spans="9:9" x14ac:dyDescent="0.55000000000000004">
      <c r="I37" t="e">
        <f t="shared" si="0"/>
        <v>#N/A</v>
      </c>
    </row>
    <row r="38" spans="9:9" x14ac:dyDescent="0.55000000000000004">
      <c r="I38" t="e">
        <f t="shared" si="0"/>
        <v>#N/A</v>
      </c>
    </row>
    <row r="39" spans="9:9" x14ac:dyDescent="0.55000000000000004">
      <c r="I39" t="e">
        <f t="shared" si="0"/>
        <v>#N/A</v>
      </c>
    </row>
    <row r="40" spans="9:9" x14ac:dyDescent="0.55000000000000004">
      <c r="I40" t="e">
        <f t="shared" si="0"/>
        <v>#N/A</v>
      </c>
    </row>
    <row r="41" spans="9:9" x14ac:dyDescent="0.55000000000000004">
      <c r="I41" t="e">
        <f t="shared" si="0"/>
        <v>#N/A</v>
      </c>
    </row>
    <row r="42" spans="9:9" x14ac:dyDescent="0.55000000000000004">
      <c r="I42" t="e">
        <f t="shared" si="0"/>
        <v>#N/A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Watson</dc:creator>
  <cp:lastModifiedBy>Mark Watson</cp:lastModifiedBy>
  <dcterms:created xsi:type="dcterms:W3CDTF">2020-04-26T19:13:10Z</dcterms:created>
  <dcterms:modified xsi:type="dcterms:W3CDTF">2021-06-18T19:14:14Z</dcterms:modified>
</cp:coreProperties>
</file>